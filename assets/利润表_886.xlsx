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esper\Desktop\"/>
    </mc:Choice>
  </mc:AlternateContent>
  <xr:revisionPtr revIDLastSave="0" documentId="8_{76CADF98-F42E-43C3-BE38-26B4B51AEA4C}" xr6:coauthVersionLast="47" xr6:coauthVersionMax="47" xr10:uidLastSave="{00000000-0000-0000-0000-000000000000}"/>
  <bookViews>
    <workbookView xWindow="4680" yWindow="2085" windowWidth="29100" windowHeight="11640" xr2:uid="{00000000-000D-0000-FFFF-FFFF00000000}"/>
  </bookViews>
  <sheets>
    <sheet name="利润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1" l="1"/>
  <c r="P6" i="1"/>
  <c r="M6" i="1"/>
  <c r="K6" i="1"/>
  <c r="J6" i="1"/>
  <c r="S6" i="1" s="1"/>
  <c r="T6" i="1" s="1"/>
  <c r="C6" i="1"/>
  <c r="Q5" i="1"/>
  <c r="P5" i="1"/>
  <c r="M5" i="1"/>
  <c r="K5" i="1"/>
  <c r="J5" i="1"/>
  <c r="C5" i="1"/>
  <c r="Q4" i="1"/>
  <c r="P4" i="1"/>
  <c r="M4" i="1"/>
  <c r="U4" i="1" s="1"/>
  <c r="V4" i="1" s="1"/>
  <c r="K4" i="1"/>
  <c r="J4" i="1"/>
  <c r="C4" i="1"/>
  <c r="Q3" i="1"/>
  <c r="P3" i="1"/>
  <c r="M3" i="1"/>
  <c r="K3" i="1"/>
  <c r="J3" i="1"/>
  <c r="S3" i="1" s="1"/>
  <c r="T3" i="1" s="1"/>
  <c r="C3" i="1"/>
  <c r="U5" i="1" l="1"/>
  <c r="V5" i="1" s="1"/>
  <c r="U6" i="1"/>
  <c r="V6" i="1" s="1"/>
  <c r="S4" i="1"/>
  <c r="T4" i="1" s="1"/>
  <c r="S5" i="1"/>
  <c r="T5" i="1" s="1"/>
  <c r="U3" i="1"/>
  <c r="V3" i="1" s="1"/>
</calcChain>
</file>

<file path=xl/sharedStrings.xml><?xml version="1.0" encoding="utf-8"?>
<sst xmlns="http://schemas.openxmlformats.org/spreadsheetml/2006/main" count="134" uniqueCount="76">
  <si>
    <t>亚马逊主图</t>
  </si>
  <si>
    <t>商品主图链接</t>
  </si>
  <si>
    <t>IMAG读取</t>
  </si>
  <si>
    <t>类目</t>
  </si>
  <si>
    <t>站点</t>
  </si>
  <si>
    <t>产品名</t>
  </si>
  <si>
    <t>产品链接</t>
  </si>
  <si>
    <t>实时售价本币</t>
  </si>
  <si>
    <t>当前汇率</t>
  </si>
  <si>
    <t>产品成本</t>
  </si>
  <si>
    <t>AMZ佣金</t>
  </si>
  <si>
    <t>VAT</t>
  </si>
  <si>
    <t>头程成本</t>
  </si>
  <si>
    <t>FBA费</t>
  </si>
  <si>
    <t>FBA仓储费</t>
  </si>
  <si>
    <t>站内广告</t>
  </si>
  <si>
    <t>退款费</t>
  </si>
  <si>
    <t>其他</t>
  </si>
  <si>
    <t>含广利润</t>
  </si>
  <si>
    <t>含广利润率</t>
  </si>
  <si>
    <t>不含广利润</t>
  </si>
  <si>
    <t>不含广利润率</t>
  </si>
  <si>
    <t>产品成本RMB</t>
  </si>
  <si>
    <t>头程单价</t>
  </si>
  <si>
    <t>头程重量</t>
  </si>
  <si>
    <t>包装重量_lb</t>
  </si>
  <si>
    <t>体积重KG</t>
  </si>
  <si>
    <t>产品实重</t>
  </si>
  <si>
    <t>数据缺失</t>
  </si>
  <si>
    <t>查看图片</t>
  </si>
  <si>
    <t>https://m.media-amazon.com/images/I/71rmqquNMLL._AC_US600_.jpg</t>
  </si>
  <si>
    <t>Health &amp; Household</t>
  </si>
  <si>
    <t>US</t>
  </si>
  <si>
    <t>50 Pack 25 oz Paper Food Containers with Lids, Meal Prep Containers Disposable Large Paper Bowls, Microwavable and Freezer Storage Use Cardboard Food Containers</t>
  </si>
  <si>
    <t>https://www.amazon.com/dp/B0FFSQVNJK</t>
  </si>
  <si>
    <t>28.99</t>
  </si>
  <si>
    <t>0</t>
  </si>
  <si>
    <t>8.26</t>
  </si>
  <si>
    <t>6.5</t>
  </si>
  <si>
    <t>2.93</t>
  </si>
  <si>
    <t>3.2</t>
  </si>
  <si>
    <t>1.45</t>
  </si>
  <si>
    <t>否</t>
  </si>
  <si>
    <t>https://m.media-amazon.com/images/I/41YSg6zQd-L._AC_US600_.jpg</t>
  </si>
  <si>
    <t>50 Pack 29 oz Paper Food Containers with Lids, Meal Prep Containers Disposable Large Paper Bowls, Microwavable and Freezer Storage Use Cardboard Food Containers</t>
  </si>
  <si>
    <t>https://www.amazon.com/dp/B0FPFX5HPB</t>
  </si>
  <si>
    <t>29.99</t>
  </si>
  <si>
    <t>8.82</t>
  </si>
  <si>
    <t>3.57</t>
  </si>
  <si>
    <t>https://m.media-amazon.com/images/I/41QUa0Q3QCL._AC_US600_.jpg</t>
  </si>
  <si>
    <t>50 Pack 35 oz Paper Food Containers with Lids, Meal Prep Containers Disposable Large Paper Bowls, Microwavable and Freezer Storage Use Cardboard Food Containers</t>
  </si>
  <si>
    <t>https://www.amazon.com/dp/B0FFSXMRWN</t>
  </si>
  <si>
    <t>31.99</t>
  </si>
  <si>
    <t>8.41</t>
  </si>
  <si>
    <t>2.86</t>
  </si>
  <si>
    <t>https://m.media-amazon.com/images/I/41SK1n0TnlL._AC_US600_.jpg</t>
  </si>
  <si>
    <t>50 Pack 22 oz Paper Food Containers with Lids, Meal Prep Containers Disposable Large Paper Bowls, Microwavable and Freezer Storage Use Cardboard Food Containers</t>
  </si>
  <si>
    <t>https://www.amazon.com/dp/B0FPFVSDTB</t>
  </si>
  <si>
    <t>8.58</t>
  </si>
  <si>
    <t>3.26</t>
  </si>
  <si>
    <t>留空</t>
    <phoneticPr fontId="1" type="noConversion"/>
  </si>
  <si>
    <t>商品详情页链接</t>
    <phoneticPr fontId="1" type="noConversion"/>
  </si>
  <si>
    <t>价格($)</t>
    <phoneticPr fontId="1" type="noConversion"/>
  </si>
  <si>
    <t>无对应列
维持与当前不变</t>
    <phoneticPr fontId="1" type="noConversion"/>
  </si>
  <si>
    <t>无对应列，
默认百分之15%但可修改</t>
    <phoneticPr fontId="1" type="noConversion"/>
  </si>
  <si>
    <t>FBA($)</t>
    <phoneticPr fontId="1" type="noConversion"/>
  </si>
  <si>
    <t>无对应列，
默认百分之20%但可修改</t>
    <phoneticPr fontId="1" type="noConversion"/>
  </si>
  <si>
    <t>无对应列，
默认百分之5%但可修改</t>
    <phoneticPr fontId="1" type="noConversion"/>
  </si>
  <si>
    <t>包装重量</t>
    <phoneticPr fontId="1" type="noConversion"/>
  </si>
  <si>
    <t>计算方式还跟之前一样，逻辑也一样
但我想明确取源数据的列为包装尺寸（单位换算）</t>
    <phoneticPr fontId="1" type="noConversion"/>
  </si>
  <si>
    <t xml:space="preserve">计算方式还跟之前一样，逻辑也一样
</t>
    <phoneticPr fontId="1" type="noConversion"/>
  </si>
  <si>
    <t>计算方式还跟之前一样，逻辑也一样，但我想明确取源数据的列为精准匹配字段：包装尺寸（单位换算）</t>
    <phoneticPr fontId="1" type="noConversion"/>
  </si>
  <si>
    <t xml:space="preserve">逻辑不改变，取值的链接为源数据表的商品主图
</t>
    <phoneticPr fontId="1" type="noConversion"/>
  </si>
  <si>
    <t>为源数据表的商品主图</t>
    <phoneticPr fontId="1" type="noConversion"/>
  </si>
  <si>
    <t>为源数据表的大类目</t>
    <phoneticPr fontId="1" type="noConversion"/>
  </si>
  <si>
    <t>为源数据表的 商品标题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</si>
</sst>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0" fontId="0" fillId="0" borderId="0" xfId="0" applyNumberFormat="1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.media-amazon.com/images/I/41QUa0Q3QCL._AC_US600_.jpg" TargetMode="External"/><Relationship Id="rId2" Type="http://schemas.openxmlformats.org/officeDocument/2006/relationships/hyperlink" Target="https://m.media-amazon.com/images/I/41YSg6zQd-L._AC_US600_.jpg" TargetMode="External"/><Relationship Id="rId1" Type="http://schemas.openxmlformats.org/officeDocument/2006/relationships/hyperlink" Target="https://m.media-amazon.com/images/I/71rmqquNMLL._AC_US600_.jpg" TargetMode="External"/><Relationship Id="rId4" Type="http://schemas.openxmlformats.org/officeDocument/2006/relationships/hyperlink" Target="https://m.media-amazon.com/images/I/41SK1n0TnlL._AC_US600_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"/>
  <sheetViews>
    <sheetView tabSelected="1" workbookViewId="0">
      <selection activeCell="F12" sqref="F12"/>
    </sheetView>
  </sheetViews>
  <sheetFormatPr defaultRowHeight="13.5" x14ac:dyDescent="0.15"/>
  <cols>
    <col min="1" max="1" width="43.25" customWidth="1"/>
    <col min="2" max="2" width="50.875" customWidth="1"/>
    <col min="3" max="3" width="17.875" customWidth="1"/>
    <col min="4" max="4" width="20.875" customWidth="1"/>
    <col min="5" max="5" width="8.875" customWidth="1"/>
    <col min="6" max="6" width="50.875" customWidth="1"/>
    <col min="7" max="7" width="27.875" customWidth="1"/>
    <col min="8" max="22" width="8.875" customWidth="1"/>
    <col min="23" max="23" width="9.875" customWidth="1"/>
    <col min="24" max="25" width="8.875" customWidth="1"/>
    <col min="26" max="26" width="12.5" customWidth="1"/>
    <col min="27" max="27" width="32.625" customWidth="1"/>
    <col min="28" max="28" width="24.75" customWidth="1"/>
    <col min="29" max="29" width="19.875" customWidth="1"/>
  </cols>
  <sheetData>
    <row r="1" spans="1:29" ht="14.2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ht="42" customHeight="1" x14ac:dyDescent="0.15">
      <c r="A2" s="3" t="s">
        <v>72</v>
      </c>
      <c r="B2" t="s">
        <v>73</v>
      </c>
      <c r="C2" s="3" t="s">
        <v>72</v>
      </c>
      <c r="D2" t="s">
        <v>74</v>
      </c>
      <c r="E2" t="s">
        <v>60</v>
      </c>
      <c r="F2" t="s">
        <v>75</v>
      </c>
      <c r="G2" t="s">
        <v>61</v>
      </c>
      <c r="H2" t="s">
        <v>62</v>
      </c>
      <c r="I2" t="s">
        <v>60</v>
      </c>
      <c r="J2" s="3" t="s">
        <v>63</v>
      </c>
      <c r="K2" s="3" t="s">
        <v>64</v>
      </c>
      <c r="L2" s="3" t="s">
        <v>63</v>
      </c>
      <c r="M2" s="3" t="s">
        <v>63</v>
      </c>
      <c r="N2" s="3" t="s">
        <v>65</v>
      </c>
      <c r="O2" s="3" t="s">
        <v>63</v>
      </c>
      <c r="P2" s="3" t="s">
        <v>66</v>
      </c>
      <c r="Q2" s="3" t="s">
        <v>67</v>
      </c>
      <c r="R2" s="3" t="s">
        <v>63</v>
      </c>
      <c r="S2" s="3" t="s">
        <v>63</v>
      </c>
      <c r="T2" s="3" t="s">
        <v>63</v>
      </c>
      <c r="U2" s="3" t="s">
        <v>63</v>
      </c>
      <c r="V2" s="3" t="s">
        <v>63</v>
      </c>
      <c r="W2" s="3" t="s">
        <v>63</v>
      </c>
      <c r="X2" s="3" t="s">
        <v>63</v>
      </c>
      <c r="Y2" s="3" t="s">
        <v>63</v>
      </c>
      <c r="Z2" t="s">
        <v>68</v>
      </c>
      <c r="AA2" s="3" t="s">
        <v>69</v>
      </c>
      <c r="AB2" s="3" t="s">
        <v>71</v>
      </c>
      <c r="AC2" s="3" t="s">
        <v>70</v>
      </c>
    </row>
    <row r="3" spans="1:29" ht="14.25" x14ac:dyDescent="0.15">
      <c r="A3" t="s">
        <v>29</v>
      </c>
      <c r="B3" t="s">
        <v>30</v>
      </c>
      <c r="C3" t="e">
        <f ca="1">_xludf.IMAGE(B3,"",3,50,50)</f>
        <v>#NAME?</v>
      </c>
      <c r="D3" t="s">
        <v>31</v>
      </c>
      <c r="E3" t="s">
        <v>32</v>
      </c>
      <c r="F3" t="s">
        <v>33</v>
      </c>
      <c r="G3" t="s">
        <v>34</v>
      </c>
      <c r="H3" s="1" t="s">
        <v>35</v>
      </c>
      <c r="I3" s="1" t="s">
        <v>36</v>
      </c>
      <c r="J3" s="1" t="e">
        <f>W3/I3</f>
        <v>#DIV/0!</v>
      </c>
      <c r="K3" s="1">
        <f>H3*0.15</f>
        <v>4.3484999999999996</v>
      </c>
      <c r="L3" s="1" t="s">
        <v>36</v>
      </c>
      <c r="M3" s="1" t="e">
        <f>X3/I3*Y3</f>
        <v>#DIV/0!</v>
      </c>
      <c r="N3" s="1" t="s">
        <v>37</v>
      </c>
      <c r="O3" s="1" t="s">
        <v>36</v>
      </c>
      <c r="P3" s="1">
        <f>H3*0.2</f>
        <v>5.798</v>
      </c>
      <c r="Q3" s="1">
        <f>H3*0.05</f>
        <v>1.4495</v>
      </c>
      <c r="R3" s="1" t="s">
        <v>36</v>
      </c>
      <c r="S3" s="1" t="e">
        <f>H3-J3-K3-L3-M3-N3-O3-P3-Q3-R3</f>
        <v>#DIV/0!</v>
      </c>
      <c r="T3" s="2" t="e">
        <f>S3/H3</f>
        <v>#DIV/0!</v>
      </c>
      <c r="U3" s="1" t="e">
        <f>H3-J3-K3-L3-M3-N3-O3-Q3-R3</f>
        <v>#DIV/0!</v>
      </c>
      <c r="V3" s="2" t="e">
        <f>U3/H3</f>
        <v>#DIV/0!</v>
      </c>
      <c r="W3" s="1" t="s">
        <v>36</v>
      </c>
      <c r="X3" s="1" t="s">
        <v>38</v>
      </c>
      <c r="Y3" s="1" t="s">
        <v>39</v>
      </c>
      <c r="Z3" s="1" t="s">
        <v>40</v>
      </c>
      <c r="AA3" s="1" t="s">
        <v>39</v>
      </c>
      <c r="AB3" s="1" t="s">
        <v>41</v>
      </c>
      <c r="AC3" t="s">
        <v>42</v>
      </c>
    </row>
    <row r="4" spans="1:29" ht="14.25" x14ac:dyDescent="0.15">
      <c r="A4" t="s">
        <v>29</v>
      </c>
      <c r="B4" t="s">
        <v>43</v>
      </c>
      <c r="C4" t="e">
        <f ca="1">_xludf.IMAGE(B4,"",3,50,50)</f>
        <v>#NAME?</v>
      </c>
      <c r="D4" t="s">
        <v>31</v>
      </c>
      <c r="E4" t="s">
        <v>32</v>
      </c>
      <c r="F4" t="s">
        <v>44</v>
      </c>
      <c r="G4" t="s">
        <v>45</v>
      </c>
      <c r="H4" s="1" t="s">
        <v>46</v>
      </c>
      <c r="I4" s="1" t="s">
        <v>36</v>
      </c>
      <c r="J4" s="1" t="e">
        <f>W4/I4</f>
        <v>#DIV/0!</v>
      </c>
      <c r="K4" s="1">
        <f>H4*0.15</f>
        <v>4.4984999999999999</v>
      </c>
      <c r="L4" s="1" t="s">
        <v>36</v>
      </c>
      <c r="M4" s="1" t="e">
        <f>X4/I4*Y4</f>
        <v>#DIV/0!</v>
      </c>
      <c r="N4" s="1" t="s">
        <v>47</v>
      </c>
      <c r="O4" s="1" t="s">
        <v>36</v>
      </c>
      <c r="P4" s="1">
        <f>H4*0.2</f>
        <v>5.9980000000000002</v>
      </c>
      <c r="Q4" s="1">
        <f>H4*0.05</f>
        <v>1.4995000000000001</v>
      </c>
      <c r="R4" s="1" t="s">
        <v>36</v>
      </c>
      <c r="S4" s="1" t="e">
        <f>H4-J4-K4-L4-M4-N4-O4-P4-Q4-R4</f>
        <v>#DIV/0!</v>
      </c>
      <c r="T4" s="2" t="e">
        <f>S4/H4</f>
        <v>#DIV/0!</v>
      </c>
      <c r="U4" s="1" t="e">
        <f>H4-J4-K4-L4-M4-N4-O4-Q4-R4</f>
        <v>#DIV/0!</v>
      </c>
      <c r="V4" s="2" t="e">
        <f>U4/H4</f>
        <v>#DIV/0!</v>
      </c>
      <c r="W4" s="1" t="s">
        <v>36</v>
      </c>
      <c r="X4" s="1" t="s">
        <v>38</v>
      </c>
      <c r="Y4" s="1" t="s">
        <v>48</v>
      </c>
      <c r="Z4" s="1" t="s">
        <v>40</v>
      </c>
      <c r="AA4" s="1" t="s">
        <v>48</v>
      </c>
      <c r="AB4" s="1" t="s">
        <v>41</v>
      </c>
      <c r="AC4" t="s">
        <v>42</v>
      </c>
    </row>
    <row r="5" spans="1:29" ht="14.25" x14ac:dyDescent="0.15">
      <c r="A5" t="s">
        <v>29</v>
      </c>
      <c r="B5" t="s">
        <v>49</v>
      </c>
      <c r="C5" t="e">
        <f ca="1">_xludf.IMAGE(B5,"",3,50,50)</f>
        <v>#NAME?</v>
      </c>
      <c r="D5" t="s">
        <v>31</v>
      </c>
      <c r="E5" t="s">
        <v>32</v>
      </c>
      <c r="F5" t="s">
        <v>50</v>
      </c>
      <c r="G5" t="s">
        <v>51</v>
      </c>
      <c r="H5" s="1" t="s">
        <v>52</v>
      </c>
      <c r="I5" s="1" t="s">
        <v>36</v>
      </c>
      <c r="J5" s="1" t="e">
        <f>W5/I5</f>
        <v>#DIV/0!</v>
      </c>
      <c r="K5" s="1">
        <f>H5*0.15</f>
        <v>4.7984999999999998</v>
      </c>
      <c r="L5" s="1" t="s">
        <v>36</v>
      </c>
      <c r="M5" s="1" t="e">
        <f>X5/I5*Y5</f>
        <v>#DIV/0!</v>
      </c>
      <c r="N5" s="1" t="s">
        <v>53</v>
      </c>
      <c r="O5" s="1" t="s">
        <v>36</v>
      </c>
      <c r="P5" s="1">
        <f>H5*0.2</f>
        <v>6.3979999999999997</v>
      </c>
      <c r="Q5" s="1">
        <f>H5*0.05</f>
        <v>1.5994999999999999</v>
      </c>
      <c r="R5" s="1" t="s">
        <v>36</v>
      </c>
      <c r="S5" s="1" t="e">
        <f>H5-J5-K5-L5-M5-N5-O5-P5-Q5-R5</f>
        <v>#DIV/0!</v>
      </c>
      <c r="T5" s="2" t="e">
        <f>S5/H5</f>
        <v>#DIV/0!</v>
      </c>
      <c r="U5" s="1" t="e">
        <f>H5-J5-K5-L5-M5-N5-O5-Q5-R5</f>
        <v>#DIV/0!</v>
      </c>
      <c r="V5" s="2" t="e">
        <f>U5/H5</f>
        <v>#DIV/0!</v>
      </c>
      <c r="W5" s="1" t="s">
        <v>36</v>
      </c>
      <c r="X5" s="1" t="s">
        <v>38</v>
      </c>
      <c r="Y5" s="1" t="s">
        <v>54</v>
      </c>
      <c r="Z5" s="1" t="s">
        <v>40</v>
      </c>
      <c r="AA5" s="1" t="s">
        <v>54</v>
      </c>
      <c r="AB5" s="1" t="s">
        <v>41</v>
      </c>
      <c r="AC5" t="s">
        <v>42</v>
      </c>
    </row>
    <row r="6" spans="1:29" ht="14.25" x14ac:dyDescent="0.15">
      <c r="A6" t="s">
        <v>29</v>
      </c>
      <c r="B6" t="s">
        <v>55</v>
      </c>
      <c r="C6" t="e">
        <f ca="1">_xludf.IMAGE(B6,"",3,50,50)</f>
        <v>#NAME?</v>
      </c>
      <c r="D6" t="s">
        <v>31</v>
      </c>
      <c r="E6" t="s">
        <v>32</v>
      </c>
      <c r="F6" t="s">
        <v>56</v>
      </c>
      <c r="G6" t="s">
        <v>57</v>
      </c>
      <c r="H6" s="1" t="s">
        <v>35</v>
      </c>
      <c r="I6" s="1" t="s">
        <v>36</v>
      </c>
      <c r="J6" s="1" t="e">
        <f>W6/I6</f>
        <v>#DIV/0!</v>
      </c>
      <c r="K6" s="1">
        <f>H6*0.15</f>
        <v>4.3484999999999996</v>
      </c>
      <c r="L6" s="1" t="s">
        <v>36</v>
      </c>
      <c r="M6" s="1" t="e">
        <f>X6/I6*Y6</f>
        <v>#DIV/0!</v>
      </c>
      <c r="N6" s="1" t="s">
        <v>58</v>
      </c>
      <c r="O6" s="1" t="s">
        <v>36</v>
      </c>
      <c r="P6" s="1">
        <f>H6*0.2</f>
        <v>5.798</v>
      </c>
      <c r="Q6" s="1">
        <f>H6*0.05</f>
        <v>1.4495</v>
      </c>
      <c r="R6" s="1" t="s">
        <v>36</v>
      </c>
      <c r="S6" s="1" t="e">
        <f>H6-J6-K6-L6-M6-N6-O6-P6-Q6-R6</f>
        <v>#DIV/0!</v>
      </c>
      <c r="T6" s="2" t="e">
        <f>S6/H6</f>
        <v>#DIV/0!</v>
      </c>
      <c r="U6" s="1" t="e">
        <f>H6-J6-K6-L6-M6-N6-O6-Q6-R6</f>
        <v>#DIV/0!</v>
      </c>
      <c r="V6" s="2" t="e">
        <f>U6/H6</f>
        <v>#DIV/0!</v>
      </c>
      <c r="W6" s="1" t="s">
        <v>36</v>
      </c>
      <c r="X6" s="1" t="s">
        <v>38</v>
      </c>
      <c r="Y6" s="1" t="s">
        <v>59</v>
      </c>
      <c r="Z6" s="1" t="s">
        <v>40</v>
      </c>
      <c r="AA6" s="1" t="s">
        <v>59</v>
      </c>
      <c r="AB6" s="1" t="s">
        <v>41</v>
      </c>
      <c r="AC6" t="s">
        <v>42</v>
      </c>
    </row>
  </sheetData>
  <phoneticPr fontId="1" type="noConversion"/>
  <hyperlinks>
    <hyperlink ref="A3" r:id="rId1" tooltip="点击查看产品图片" xr:uid="{00000000-0004-0000-0000-000000000000}"/>
    <hyperlink ref="A4" r:id="rId2" tooltip="点击查看产品图片" xr:uid="{00000000-0004-0000-0000-000001000000}"/>
    <hyperlink ref="A5" r:id="rId3" tooltip="点击查看产品图片" xr:uid="{00000000-0004-0000-0000-000002000000}"/>
    <hyperlink ref="A6" r:id="rId4" tooltip="点击查看产品图片" xr:uid="{00000000-0004-0000-0000-000003000000}"/>
  </hyperlinks>
  <pageMargins left="0.7" right="0.7" top="0.75" bottom="0.75" header="0.3" footer="0.3"/>
  <ignoredErrors>
    <ignoredError sqref="A3:AC6 A1:A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利润表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Vesper</cp:lastModifiedBy>
  <dcterms:created xsi:type="dcterms:W3CDTF">2026-03-18T09:57:02Z</dcterms:created>
  <dcterms:modified xsi:type="dcterms:W3CDTF">2026-03-18T09:57:54Z</dcterms:modified>
</cp:coreProperties>
</file>